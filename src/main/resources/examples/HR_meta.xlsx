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#10 Travaux 2026\#3 Syntaxes R\Hazard Ratio\"/>
    </mc:Choice>
  </mc:AlternateContent>
  <xr:revisionPtr revIDLastSave="0" documentId="13_ncr:1_{034720D5-6BD8-4B9A-ACEA-3F007A5940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1" l="1"/>
  <c r="H13" i="1"/>
  <c r="H14" i="1"/>
  <c r="H15" i="1"/>
  <c r="H16" i="1"/>
  <c r="H17" i="1"/>
  <c r="H18" i="1"/>
  <c r="H19" i="1"/>
  <c r="H20" i="1"/>
  <c r="H21" i="1"/>
  <c r="G12" i="1"/>
  <c r="G13" i="1"/>
  <c r="G14" i="1"/>
  <c r="G15" i="1"/>
  <c r="G16" i="1"/>
  <c r="G17" i="1"/>
  <c r="G18" i="1"/>
  <c r="G19" i="1"/>
  <c r="G20" i="1"/>
  <c r="G21" i="1"/>
  <c r="H11" i="1"/>
  <c r="H10" i="1"/>
  <c r="H9" i="1"/>
  <c r="H8" i="1"/>
  <c r="H7" i="1"/>
  <c r="H6" i="1"/>
  <c r="H5" i="1"/>
  <c r="H4" i="1"/>
  <c r="H3" i="1"/>
  <c r="H2" i="1"/>
  <c r="G3" i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<sst xmlns="http://schemas.openxmlformats.org/spreadsheetml/2006/main" count="52" uniqueCount="34">
  <si>
    <t>Study</t>
  </si>
  <si>
    <t>Study_01</t>
  </si>
  <si>
    <t>Study_02</t>
  </si>
  <si>
    <t>Study_03</t>
  </si>
  <si>
    <t>Study_04</t>
  </si>
  <si>
    <t>Study_05</t>
  </si>
  <si>
    <t>Study_06</t>
  </si>
  <si>
    <t>Study_07</t>
  </si>
  <si>
    <t>Study_08</t>
  </si>
  <si>
    <t>Study_09</t>
  </si>
  <si>
    <t>Study_10</t>
  </si>
  <si>
    <t>HR</t>
  </si>
  <si>
    <t>lower</t>
  </si>
  <si>
    <t>upper</t>
  </si>
  <si>
    <t>Ethnicity</t>
  </si>
  <si>
    <t>Caucasian</t>
  </si>
  <si>
    <t>Asian</t>
  </si>
  <si>
    <t>Age</t>
  </si>
  <si>
    <t>Std_Error</t>
  </si>
  <si>
    <t>log_HR</t>
  </si>
  <si>
    <t>Events_Treatment</t>
  </si>
  <si>
    <t>N_treatment</t>
  </si>
  <si>
    <t>Events_controls</t>
  </si>
  <si>
    <t>N_controls</t>
  </si>
  <si>
    <t>Study_11</t>
  </si>
  <si>
    <t>Study_12</t>
  </si>
  <si>
    <t>Study_13</t>
  </si>
  <si>
    <t>Study_14</t>
  </si>
  <si>
    <t>Study_15</t>
  </si>
  <si>
    <t>Study_16</t>
  </si>
  <si>
    <t>Study_17</t>
  </si>
  <si>
    <t>Study_18</t>
  </si>
  <si>
    <t>Study_19</t>
  </si>
  <si>
    <t>Study_20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</si>
</sst>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1" sqref="H11:H21"/>
    </sheetView>
  </sheetViews>
  <sheetFormatPr defaultRowHeight="15" x14ac:dyDescent="0.25"/>
  <cols>
    <col min="1" max="2" width="15.28515625" customWidth="1"/>
    <col min="3" max="3" width="4.42578125" bestFit="1" customWidth="1"/>
    <col min="7" max="7" width="11.140625" customWidth="1"/>
    <col min="8" max="8" width="13.140625" customWidth="1"/>
    <col min="9" max="9" width="17.42578125" bestFit="1" customWidth="1"/>
    <col min="10" max="10" width="11.85546875" bestFit="1" customWidth="1"/>
    <col min="11" max="11" width="14.5703125" bestFit="1" customWidth="1"/>
    <col min="12" max="12" width="10" bestFit="1" customWidth="1"/>
  </cols>
  <sheetData>
    <row r="1" spans="1:12" s="1" customFormat="1" x14ac:dyDescent="0.25">
      <c r="A1" s="1" t="s">
        <v>0</v>
      </c>
      <c r="B1" s="1" t="s">
        <v>14</v>
      </c>
      <c r="C1" s="1" t="s">
        <v>17</v>
      </c>
      <c r="D1" s="1" t="s">
        <v>11</v>
      </c>
      <c r="E1" s="1" t="s">
        <v>12</v>
      </c>
      <c r="F1" s="1" t="s">
        <v>13</v>
      </c>
      <c r="G1" s="1" t="s">
        <v>19</v>
      </c>
      <c r="H1" s="1" t="s">
        <v>18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 x14ac:dyDescent="0.25">
      <c r="A2" t="s">
        <v>1</v>
      </c>
      <c r="B2" t="s">
        <v>15</v>
      </c>
      <c r="C2">
        <v>52</v>
      </c>
      <c r="D2">
        <v>0.5</v>
      </c>
      <c r="E2">
        <v>0.43</v>
      </c>
      <c r="F2">
        <v>0.56999999999999995</v>
      </c>
      <c r="G2">
        <f>LN(D2)</f>
        <v>-0.69314718055994529</v>
      </c>
      <c r="H2">
        <f xml:space="preserve"> (LN(F2) - LN(E2))/(2*1.96)</f>
        <v>7.1900804117598888E-2</v>
      </c>
      <c r="I2">
        <v>220</v>
      </c>
      <c r="J2">
        <v>1000</v>
      </c>
      <c r="K2">
        <v>440</v>
      </c>
      <c r="L2">
        <v>1000</v>
      </c>
    </row>
    <row r="3" spans="1:12" x14ac:dyDescent="0.25">
      <c r="A3" t="s">
        <v>2</v>
      </c>
      <c r="B3" t="s">
        <v>16</v>
      </c>
      <c r="C3">
        <v>48</v>
      </c>
      <c r="D3">
        <v>0.52</v>
      </c>
      <c r="E3">
        <v>0.45</v>
      </c>
      <c r="F3">
        <v>0.59</v>
      </c>
      <c r="G3">
        <f t="shared" ref="G3:G21" si="0">LN(D3)</f>
        <v>-0.65392646740666394</v>
      </c>
      <c r="H3">
        <f t="shared" ref="H3:H21" si="1" xml:space="preserve"> (LN(F3) - LN(E3))/(2*1.96)</f>
        <v>6.910075360596929E-2</v>
      </c>
      <c r="I3">
        <v>180</v>
      </c>
      <c r="J3">
        <v>800</v>
      </c>
      <c r="K3">
        <v>348</v>
      </c>
      <c r="L3">
        <v>800</v>
      </c>
    </row>
    <row r="4" spans="1:12" x14ac:dyDescent="0.25">
      <c r="A4" t="s">
        <v>3</v>
      </c>
      <c r="B4" t="s">
        <v>16</v>
      </c>
      <c r="C4">
        <v>45</v>
      </c>
      <c r="D4">
        <v>0.45</v>
      </c>
      <c r="E4">
        <v>0.38</v>
      </c>
      <c r="F4">
        <v>0.52</v>
      </c>
      <c r="G4">
        <f t="shared" si="0"/>
        <v>-0.79850769621777162</v>
      </c>
      <c r="H4">
        <f t="shared" si="1"/>
        <v>8.0014683381388174E-2</v>
      </c>
      <c r="I4">
        <v>200</v>
      </c>
      <c r="J4">
        <v>780</v>
      </c>
      <c r="K4">
        <v>420</v>
      </c>
      <c r="L4">
        <v>780</v>
      </c>
    </row>
    <row r="5" spans="1:12" x14ac:dyDescent="0.25">
      <c r="A5" t="s">
        <v>4</v>
      </c>
      <c r="B5" t="s">
        <v>15</v>
      </c>
      <c r="C5">
        <v>51</v>
      </c>
      <c r="D5">
        <v>0.57999999999999996</v>
      </c>
      <c r="E5">
        <v>0.51</v>
      </c>
      <c r="F5">
        <v>0.65</v>
      </c>
      <c r="G5">
        <f t="shared" si="0"/>
        <v>-0.54472717544167215</v>
      </c>
      <c r="H5">
        <f t="shared" si="1"/>
        <v>6.1877968666150869E-2</v>
      </c>
      <c r="I5">
        <v>230</v>
      </c>
      <c r="J5">
        <v>750</v>
      </c>
      <c r="K5">
        <v>380</v>
      </c>
      <c r="L5">
        <v>750</v>
      </c>
    </row>
    <row r="6" spans="1:12" x14ac:dyDescent="0.25">
      <c r="A6" t="s">
        <v>5</v>
      </c>
      <c r="B6" t="s">
        <v>15</v>
      </c>
      <c r="C6">
        <v>42</v>
      </c>
      <c r="D6">
        <v>0.42</v>
      </c>
      <c r="E6">
        <v>0.35</v>
      </c>
      <c r="F6">
        <v>0.49</v>
      </c>
      <c r="G6">
        <f t="shared" si="0"/>
        <v>-0.86750056770472306</v>
      </c>
      <c r="H6">
        <f t="shared" si="1"/>
        <v>8.5834754240105379E-2</v>
      </c>
      <c r="I6">
        <v>200</v>
      </c>
      <c r="J6">
        <v>900</v>
      </c>
      <c r="K6">
        <v>460</v>
      </c>
      <c r="L6">
        <v>900</v>
      </c>
    </row>
    <row r="7" spans="1:12" x14ac:dyDescent="0.25">
      <c r="A7" t="s">
        <v>6</v>
      </c>
      <c r="B7" t="s">
        <v>16</v>
      </c>
      <c r="C7">
        <v>50</v>
      </c>
      <c r="D7">
        <v>0.61</v>
      </c>
      <c r="E7">
        <v>0.54</v>
      </c>
      <c r="F7">
        <v>0.68</v>
      </c>
      <c r="G7">
        <f t="shared" si="0"/>
        <v>-0.49429632181478012</v>
      </c>
      <c r="H7">
        <f t="shared" si="1"/>
        <v>5.8807055768324575E-2</v>
      </c>
      <c r="I7">
        <v>240</v>
      </c>
      <c r="J7">
        <v>850</v>
      </c>
      <c r="K7">
        <v>370</v>
      </c>
      <c r="L7">
        <v>850</v>
      </c>
    </row>
    <row r="8" spans="1:12" x14ac:dyDescent="0.25">
      <c r="A8" t="s">
        <v>7</v>
      </c>
      <c r="B8" t="s">
        <v>15</v>
      </c>
      <c r="C8">
        <v>49</v>
      </c>
      <c r="D8">
        <v>0.48</v>
      </c>
      <c r="E8">
        <v>0.41</v>
      </c>
      <c r="F8">
        <v>0.55000000000000004</v>
      </c>
      <c r="G8">
        <f t="shared" si="0"/>
        <v>-0.73396917508020043</v>
      </c>
      <c r="H8">
        <f t="shared" si="1"/>
        <v>7.493906084902123E-2</v>
      </c>
      <c r="I8">
        <v>190</v>
      </c>
      <c r="J8">
        <v>830</v>
      </c>
      <c r="K8">
        <v>400</v>
      </c>
      <c r="L8">
        <v>830</v>
      </c>
    </row>
    <row r="9" spans="1:12" x14ac:dyDescent="0.25">
      <c r="A9" t="s">
        <v>8</v>
      </c>
      <c r="B9" t="s">
        <v>16</v>
      </c>
      <c r="C9">
        <v>47</v>
      </c>
      <c r="D9">
        <v>0.54</v>
      </c>
      <c r="E9">
        <v>0.47</v>
      </c>
      <c r="F9">
        <v>0.61</v>
      </c>
      <c r="G9">
        <f t="shared" si="0"/>
        <v>-0.61618613942381695</v>
      </c>
      <c r="H9">
        <f t="shared" si="1"/>
        <v>6.6511801648788949E-2</v>
      </c>
      <c r="I9">
        <v>210</v>
      </c>
      <c r="J9">
        <v>880</v>
      </c>
      <c r="K9">
        <v>390</v>
      </c>
      <c r="L9">
        <v>880</v>
      </c>
    </row>
    <row r="10" spans="1:12" x14ac:dyDescent="0.25">
      <c r="A10" t="s">
        <v>9</v>
      </c>
      <c r="B10" t="s">
        <v>15</v>
      </c>
      <c r="C10">
        <v>53</v>
      </c>
      <c r="D10">
        <v>0.39</v>
      </c>
      <c r="E10">
        <v>0.32</v>
      </c>
      <c r="F10">
        <v>0.46</v>
      </c>
      <c r="G10">
        <f t="shared" si="0"/>
        <v>-0.94160853985844495</v>
      </c>
      <c r="H10">
        <f t="shared" si="1"/>
        <v>9.2577932063614421E-2</v>
      </c>
      <c r="I10">
        <v>200</v>
      </c>
      <c r="J10">
        <v>950</v>
      </c>
      <c r="K10">
        <v>470</v>
      </c>
      <c r="L10">
        <v>950</v>
      </c>
    </row>
    <row r="11" spans="1:12" x14ac:dyDescent="0.25">
      <c r="A11" t="s">
        <v>10</v>
      </c>
      <c r="B11" t="s">
        <v>16</v>
      </c>
      <c r="C11">
        <v>46</v>
      </c>
      <c r="D11">
        <v>0.59</v>
      </c>
      <c r="E11">
        <v>0.52</v>
      </c>
      <c r="F11">
        <v>0.66</v>
      </c>
      <c r="G11">
        <f t="shared" si="0"/>
        <v>-0.52763274208237199</v>
      </c>
      <c r="H11">
        <f t="shared" si="1"/>
        <v>6.0819138633928099E-2</v>
      </c>
      <c r="I11">
        <v>240</v>
      </c>
      <c r="J11">
        <v>870</v>
      </c>
      <c r="K11">
        <v>390</v>
      </c>
      <c r="L11">
        <v>870</v>
      </c>
    </row>
    <row r="12" spans="1:12" x14ac:dyDescent="0.25">
      <c r="A12" t="s">
        <v>24</v>
      </c>
      <c r="B12" t="s">
        <v>15</v>
      </c>
      <c r="C12">
        <v>52</v>
      </c>
      <c r="D12">
        <v>0.5</v>
      </c>
      <c r="E12">
        <v>0.43</v>
      </c>
      <c r="F12">
        <v>0.56999999999999995</v>
      </c>
      <c r="G12">
        <f t="shared" si="0"/>
        <v>-0.69314718055994529</v>
      </c>
      <c r="H12">
        <f t="shared" si="1"/>
        <v>7.1900804117598888E-2</v>
      </c>
      <c r="I12">
        <v>220</v>
      </c>
      <c r="J12">
        <v>1000</v>
      </c>
      <c r="K12">
        <v>440</v>
      </c>
      <c r="L12">
        <v>1000</v>
      </c>
    </row>
    <row r="13" spans="1:12" x14ac:dyDescent="0.25">
      <c r="A13" t="s">
        <v>25</v>
      </c>
      <c r="B13" t="s">
        <v>16</v>
      </c>
      <c r="C13">
        <v>48</v>
      </c>
      <c r="D13">
        <v>0.52</v>
      </c>
      <c r="E13">
        <v>0.45</v>
      </c>
      <c r="F13">
        <v>0.59</v>
      </c>
      <c r="G13">
        <f t="shared" si="0"/>
        <v>-0.65392646740666394</v>
      </c>
      <c r="H13">
        <f t="shared" si="1"/>
        <v>6.910075360596929E-2</v>
      </c>
      <c r="I13">
        <v>180</v>
      </c>
      <c r="J13">
        <v>800</v>
      </c>
      <c r="K13">
        <v>348</v>
      </c>
      <c r="L13">
        <v>800</v>
      </c>
    </row>
    <row r="14" spans="1:12" x14ac:dyDescent="0.25">
      <c r="A14" t="s">
        <v>26</v>
      </c>
      <c r="B14" t="s">
        <v>16</v>
      </c>
      <c r="C14">
        <v>45</v>
      </c>
      <c r="D14">
        <v>0.45</v>
      </c>
      <c r="E14">
        <v>0.38</v>
      </c>
      <c r="F14">
        <v>0.52</v>
      </c>
      <c r="G14">
        <f t="shared" si="0"/>
        <v>-0.79850769621777162</v>
      </c>
      <c r="H14">
        <f t="shared" si="1"/>
        <v>8.0014683381388174E-2</v>
      </c>
      <c r="I14">
        <v>200</v>
      </c>
      <c r="J14">
        <v>780</v>
      </c>
      <c r="K14">
        <v>420</v>
      </c>
      <c r="L14">
        <v>780</v>
      </c>
    </row>
    <row r="15" spans="1:12" x14ac:dyDescent="0.25">
      <c r="A15" t="s">
        <v>27</v>
      </c>
      <c r="B15" t="s">
        <v>15</v>
      </c>
      <c r="C15">
        <v>51</v>
      </c>
      <c r="D15">
        <v>0.57999999999999996</v>
      </c>
      <c r="E15">
        <v>0.51</v>
      </c>
      <c r="F15">
        <v>0.65</v>
      </c>
      <c r="G15">
        <f t="shared" si="0"/>
        <v>-0.54472717544167215</v>
      </c>
      <c r="H15">
        <f t="shared" si="1"/>
        <v>6.1877968666150869E-2</v>
      </c>
      <c r="I15">
        <v>230</v>
      </c>
      <c r="J15">
        <v>750</v>
      </c>
      <c r="K15">
        <v>380</v>
      </c>
      <c r="L15">
        <v>750</v>
      </c>
    </row>
    <row r="16" spans="1:12" x14ac:dyDescent="0.25">
      <c r="A16" t="s">
        <v>28</v>
      </c>
      <c r="B16" t="s">
        <v>15</v>
      </c>
      <c r="C16">
        <v>42</v>
      </c>
      <c r="D16">
        <v>0.42</v>
      </c>
      <c r="E16">
        <v>0.35</v>
      </c>
      <c r="F16">
        <v>0.49</v>
      </c>
      <c r="G16">
        <f t="shared" si="0"/>
        <v>-0.86750056770472306</v>
      </c>
      <c r="H16">
        <f t="shared" si="1"/>
        <v>8.5834754240105379E-2</v>
      </c>
      <c r="I16">
        <v>200</v>
      </c>
      <c r="J16">
        <v>900</v>
      </c>
      <c r="K16">
        <v>460</v>
      </c>
      <c r="L16">
        <v>900</v>
      </c>
    </row>
    <row r="17" spans="1:12" x14ac:dyDescent="0.25">
      <c r="A17" t="s">
        <v>29</v>
      </c>
      <c r="B17" t="s">
        <v>16</v>
      </c>
      <c r="C17">
        <v>50</v>
      </c>
      <c r="D17">
        <v>0.61</v>
      </c>
      <c r="E17">
        <v>0.54</v>
      </c>
      <c r="F17">
        <v>0.68</v>
      </c>
      <c r="G17">
        <f t="shared" si="0"/>
        <v>-0.49429632181478012</v>
      </c>
      <c r="H17">
        <f t="shared" si="1"/>
        <v>5.8807055768324575E-2</v>
      </c>
      <c r="I17">
        <v>240</v>
      </c>
      <c r="J17">
        <v>850</v>
      </c>
      <c r="K17">
        <v>370</v>
      </c>
      <c r="L17">
        <v>850</v>
      </c>
    </row>
    <row r="18" spans="1:12" x14ac:dyDescent="0.25">
      <c r="A18" t="s">
        <v>30</v>
      </c>
      <c r="B18" t="s">
        <v>15</v>
      </c>
      <c r="C18">
        <v>49</v>
      </c>
      <c r="D18">
        <v>0.48</v>
      </c>
      <c r="E18">
        <v>0.41</v>
      </c>
      <c r="F18">
        <v>0.55000000000000004</v>
      </c>
      <c r="G18">
        <f t="shared" si="0"/>
        <v>-0.73396917508020043</v>
      </c>
      <c r="H18">
        <f t="shared" si="1"/>
        <v>7.493906084902123E-2</v>
      </c>
      <c r="I18">
        <v>190</v>
      </c>
      <c r="J18">
        <v>830</v>
      </c>
      <c r="K18">
        <v>400</v>
      </c>
      <c r="L18">
        <v>830</v>
      </c>
    </row>
    <row r="19" spans="1:12" x14ac:dyDescent="0.25">
      <c r="A19" t="s">
        <v>31</v>
      </c>
      <c r="B19" t="s">
        <v>16</v>
      </c>
      <c r="C19">
        <v>47</v>
      </c>
      <c r="D19">
        <v>0.54</v>
      </c>
      <c r="E19">
        <v>0.47</v>
      </c>
      <c r="F19">
        <v>0.61</v>
      </c>
      <c r="G19">
        <f t="shared" si="0"/>
        <v>-0.61618613942381695</v>
      </c>
      <c r="H19">
        <f t="shared" si="1"/>
        <v>6.6511801648788949E-2</v>
      </c>
      <c r="I19">
        <v>210</v>
      </c>
      <c r="J19">
        <v>880</v>
      </c>
      <c r="K19">
        <v>390</v>
      </c>
      <c r="L19">
        <v>880</v>
      </c>
    </row>
    <row r="20" spans="1:12" x14ac:dyDescent="0.25">
      <c r="A20" t="s">
        <v>32</v>
      </c>
      <c r="B20" t="s">
        <v>15</v>
      </c>
      <c r="C20">
        <v>53</v>
      </c>
      <c r="D20">
        <v>0.39</v>
      </c>
      <c r="E20">
        <v>0.32</v>
      </c>
      <c r="F20">
        <v>0.46</v>
      </c>
      <c r="G20">
        <f t="shared" si="0"/>
        <v>-0.94160853985844495</v>
      </c>
      <c r="H20">
        <f t="shared" si="1"/>
        <v>9.2577932063614421E-2</v>
      </c>
      <c r="I20">
        <v>200</v>
      </c>
      <c r="J20">
        <v>950</v>
      </c>
      <c r="K20">
        <v>470</v>
      </c>
      <c r="L20">
        <v>950</v>
      </c>
    </row>
    <row r="21" spans="1:12" x14ac:dyDescent="0.25">
      <c r="A21" t="s">
        <v>33</v>
      </c>
      <c r="B21" t="s">
        <v>16</v>
      </c>
      <c r="C21">
        <v>46</v>
      </c>
      <c r="D21">
        <v>0.59</v>
      </c>
      <c r="E21">
        <v>0.52</v>
      </c>
      <c r="F21">
        <v>0.66</v>
      </c>
      <c r="G21">
        <f t="shared" si="0"/>
        <v>-0.52763274208237199</v>
      </c>
      <c r="H21">
        <f t="shared" si="1"/>
        <v>6.0819138633928099E-2</v>
      </c>
      <c r="I21">
        <v>240</v>
      </c>
      <c r="J21">
        <v>870</v>
      </c>
      <c r="K21">
        <v>390</v>
      </c>
      <c r="L21">
        <v>870</v>
      </c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tarak dhaouadi</dc:creator>
  <cp:lastModifiedBy>tarak</cp:lastModifiedBy>
  <dcterms:created xsi:type="dcterms:W3CDTF">2015-06-05T18:17:20Z</dcterms:created>
  <dcterms:modified xsi:type="dcterms:W3CDTF">2026-09-02T12:15:53Z</dcterms:modified>
</cp:coreProperties>
</file>