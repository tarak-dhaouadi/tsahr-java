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Hazard Ratio\"/>
    </mc:Choice>
  </mc:AlternateContent>
  <xr:revisionPtr revIDLastSave="0" documentId="13_ncr:1_{50B067C2-C761-4534-8A5E-9C1858065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H12" i="1"/>
  <c r="H13" i="1"/>
  <c r="H14" i="1"/>
  <c r="H15" i="1"/>
  <c r="H16" i="1"/>
  <c r="H17" i="1"/>
  <c r="H18" i="1"/>
  <c r="H19" i="1"/>
  <c r="H20" i="1"/>
  <c r="H21" i="1"/>
  <c r="G12" i="1"/>
  <c r="G13" i="1"/>
  <c r="G14" i="1"/>
  <c r="G15" i="1"/>
  <c r="G16" i="1"/>
  <c r="G17" i="1"/>
  <c r="G18" i="1"/>
  <c r="G19" i="1"/>
  <c r="G20" i="1"/>
  <c r="G21" i="1"/>
  <c r="H11" i="1"/>
  <c r="H10" i="1"/>
  <c r="H9" i="1"/>
  <c r="H8" i="1"/>
  <c r="H7" i="1"/>
  <c r="H6" i="1"/>
  <c r="H5" i="1"/>
  <c r="H4" i="1"/>
  <c r="H3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<sst xmlns="http://schemas.openxmlformats.org/spreadsheetml/2006/main" count="92" uniqueCount="54">
  <si>
    <t>Study</t>
  </si>
  <si>
    <t>Study_01</t>
  </si>
  <si>
    <t>Study_02</t>
  </si>
  <si>
    <t>Study_03</t>
  </si>
  <si>
    <t>Study_04</t>
  </si>
  <si>
    <t>Study_05</t>
  </si>
  <si>
    <t>Study_06</t>
  </si>
  <si>
    <t>Study_07</t>
  </si>
  <si>
    <t>Study_08</t>
  </si>
  <si>
    <t>Study_09</t>
  </si>
  <si>
    <t>Study_10</t>
  </si>
  <si>
    <t>HR</t>
  </si>
  <si>
    <t>lower</t>
  </si>
  <si>
    <t>upper</t>
  </si>
  <si>
    <t>Ethnicity</t>
  </si>
  <si>
    <t>Caucasian</t>
  </si>
  <si>
    <t>Asian</t>
  </si>
  <si>
    <t>Age</t>
  </si>
  <si>
    <t>Std_Error</t>
  </si>
  <si>
    <t>log_HR</t>
  </si>
  <si>
    <t>Events_Treatment</t>
  </si>
  <si>
    <t>N_treatment</t>
  </si>
  <si>
    <t>Events_controls</t>
  </si>
  <si>
    <t>N_controls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</si>
  <si>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</si>
  <si>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</si>
  <si>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</si>
  <si>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</si>
  <si>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</si>
  <si>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</si>
  <si>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</si>
  <si>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</si>
  <si>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</si>
  <si>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</si>
  <si>
    <t>Study_21</t>
  </si>
  <si>
    <t>Study_22</t>
  </si>
  <si>
    <t>Study_23</t>
  </si>
  <si>
    <t>Study_24</t>
  </si>
  <si>
    <t>Study_25</t>
  </si>
  <si>
    <t>Study_26</t>
  </si>
  <si>
    <t>Study_27</t>
  </si>
  <si>
    <t>Study_28</t>
  </si>
  <si>
    <t>Study_29</t>
  </si>
  <si>
    <t>Study_30</t>
  </si>
  <si>
    <t>Study_31</t>
  </si>
  <si>
    <t>Study_32</t>
  </si>
  <si>
    <t>Study_33</t>
  </si>
  <si>
    <t>Study_34</t>
  </si>
  <si>
    <t>Study_35</t>
  </si>
  <si>
    <t>Study_36</t>
  </si>
  <si>
    <t>Study_37</t>
  </si>
  <si>
    <t>Study_38</t>
  </si>
  <si>
    <t>Study_39</t>
  </si>
  <si>
    <t>Study_40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</si>
</sst>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2" sqref="I22:L41"/>
    </sheetView>
  </sheetViews>
  <sheetFormatPr defaultRowHeight="15" x14ac:dyDescent="0.25"/>
  <cols>
    <col min="1" max="2" width="15.28515625" customWidth="1"/>
    <col min="3" max="3" width="4.42578125" bestFit="1" customWidth="1"/>
    <col min="7" max="7" width="11.140625" customWidth="1"/>
    <col min="8" max="8" width="13.140625" customWidth="1"/>
    <col min="9" max="9" width="17.42578125" bestFit="1" customWidth="1"/>
    <col min="10" max="10" width="11.85546875" bestFit="1" customWidth="1"/>
    <col min="11" max="11" width="14.5703125" bestFit="1" customWidth="1"/>
    <col min="12" max="12" width="10" bestFit="1" customWidth="1"/>
  </cols>
  <sheetData>
    <row r="1" spans="1:12" s="1" customFormat="1" x14ac:dyDescent="0.25">
      <c r="A1" s="1" t="s">
        <v>0</v>
      </c>
      <c r="B1" s="1" t="s">
        <v>14</v>
      </c>
      <c r="C1" s="1" t="s">
        <v>17</v>
      </c>
      <c r="D1" s="1" t="s">
        <v>11</v>
      </c>
      <c r="E1" s="1" t="s">
        <v>12</v>
      </c>
      <c r="F1" s="1" t="s">
        <v>13</v>
      </c>
      <c r="G1" s="1" t="s">
        <v>19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5">
      <c r="A2" t="s">
        <v>1</v>
      </c>
      <c r="B2" t="s">
        <v>15</v>
      </c>
      <c r="C2">
        <v>52</v>
      </c>
      <c r="D2">
        <v>0.5</v>
      </c>
      <c r="E2">
        <v>0.43</v>
      </c>
      <c r="F2">
        <v>0.56999999999999995</v>
      </c>
      <c r="G2">
        <f>LN(D2)</f>
        <v>-0.69314718055994529</v>
      </c>
      <c r="H2">
        <f xml:space="preserve"> (LN(F2) - LN(E2))/(2*1.96)</f>
        <v>7.1900804117598888E-2</v>
      </c>
      <c r="I2">
        <v>220</v>
      </c>
      <c r="J2">
        <v>1000</v>
      </c>
      <c r="K2">
        <v>440</v>
      </c>
      <c r="L2">
        <v>1000</v>
      </c>
    </row>
    <row r="3" spans="1:12" x14ac:dyDescent="0.25">
      <c r="A3" t="s">
        <v>2</v>
      </c>
      <c r="B3" t="s">
        <v>16</v>
      </c>
      <c r="C3">
        <v>48</v>
      </c>
      <c r="D3">
        <v>0.52</v>
      </c>
      <c r="E3">
        <v>0.45</v>
      </c>
      <c r="F3">
        <v>0.59</v>
      </c>
      <c r="G3">
        <f t="shared" ref="G3:G41" si="0">LN(D3)</f>
        <v>-0.65392646740666394</v>
      </c>
      <c r="H3">
        <f t="shared" ref="H3:H41" si="1" xml:space="preserve"> (LN(F3) - LN(E3))/(2*1.96)</f>
        <v>6.910075360596929E-2</v>
      </c>
      <c r="I3">
        <v>180</v>
      </c>
      <c r="J3">
        <v>800</v>
      </c>
      <c r="K3">
        <v>348</v>
      </c>
      <c r="L3">
        <v>800</v>
      </c>
    </row>
    <row r="4" spans="1:12" x14ac:dyDescent="0.25">
      <c r="A4" t="s">
        <v>3</v>
      </c>
      <c r="B4" t="s">
        <v>16</v>
      </c>
      <c r="C4">
        <v>45</v>
      </c>
      <c r="D4">
        <v>0.45</v>
      </c>
      <c r="E4">
        <v>0.38</v>
      </c>
      <c r="F4">
        <v>0.52</v>
      </c>
      <c r="G4">
        <f t="shared" si="0"/>
        <v>-0.79850769621777162</v>
      </c>
      <c r="H4">
        <f t="shared" si="1"/>
        <v>8.0014683381388174E-2</v>
      </c>
      <c r="I4">
        <v>200</v>
      </c>
      <c r="J4">
        <v>780</v>
      </c>
      <c r="K4">
        <v>420</v>
      </c>
      <c r="L4">
        <v>780</v>
      </c>
    </row>
    <row r="5" spans="1:12" x14ac:dyDescent="0.25">
      <c r="A5" t="s">
        <v>4</v>
      </c>
      <c r="B5" t="s">
        <v>15</v>
      </c>
      <c r="C5">
        <v>51</v>
      </c>
      <c r="D5">
        <v>0.57999999999999996</v>
      </c>
      <c r="E5">
        <v>0.51</v>
      </c>
      <c r="F5">
        <v>0.65</v>
      </c>
      <c r="G5">
        <f t="shared" si="0"/>
        <v>-0.54472717544167215</v>
      </c>
      <c r="H5">
        <f t="shared" si="1"/>
        <v>6.1877968666150869E-2</v>
      </c>
      <c r="I5">
        <v>230</v>
      </c>
      <c r="J5">
        <v>750</v>
      </c>
      <c r="K5">
        <v>380</v>
      </c>
      <c r="L5">
        <v>750</v>
      </c>
    </row>
    <row r="6" spans="1:12" x14ac:dyDescent="0.25">
      <c r="A6" t="s">
        <v>5</v>
      </c>
      <c r="B6" t="s">
        <v>15</v>
      </c>
      <c r="C6">
        <v>42</v>
      </c>
      <c r="D6">
        <v>0.42</v>
      </c>
      <c r="E6">
        <v>0.35</v>
      </c>
      <c r="F6">
        <v>0.49</v>
      </c>
      <c r="G6">
        <f t="shared" si="0"/>
        <v>-0.86750056770472306</v>
      </c>
      <c r="H6">
        <f t="shared" si="1"/>
        <v>8.5834754240105379E-2</v>
      </c>
      <c r="I6">
        <v>200</v>
      </c>
      <c r="J6">
        <v>900</v>
      </c>
      <c r="K6">
        <v>460</v>
      </c>
      <c r="L6">
        <v>900</v>
      </c>
    </row>
    <row r="7" spans="1:12" x14ac:dyDescent="0.25">
      <c r="A7" t="s">
        <v>6</v>
      </c>
      <c r="B7" t="s">
        <v>16</v>
      </c>
      <c r="C7">
        <v>50</v>
      </c>
      <c r="D7">
        <v>0.61</v>
      </c>
      <c r="E7">
        <v>0.54</v>
      </c>
      <c r="F7">
        <v>0.68</v>
      </c>
      <c r="G7">
        <f t="shared" si="0"/>
        <v>-0.49429632181478012</v>
      </c>
      <c r="H7">
        <f t="shared" si="1"/>
        <v>5.8807055768324575E-2</v>
      </c>
      <c r="I7">
        <v>240</v>
      </c>
      <c r="J7">
        <v>850</v>
      </c>
      <c r="K7">
        <v>370</v>
      </c>
      <c r="L7">
        <v>850</v>
      </c>
    </row>
    <row r="8" spans="1:12" x14ac:dyDescent="0.25">
      <c r="A8" t="s">
        <v>7</v>
      </c>
      <c r="B8" t="s">
        <v>15</v>
      </c>
      <c r="C8">
        <v>49</v>
      </c>
      <c r="D8">
        <v>0.48</v>
      </c>
      <c r="E8">
        <v>0.41</v>
      </c>
      <c r="F8">
        <v>0.55000000000000004</v>
      </c>
      <c r="G8">
        <f t="shared" si="0"/>
        <v>-0.73396917508020043</v>
      </c>
      <c r="H8">
        <f t="shared" si="1"/>
        <v>7.493906084902123E-2</v>
      </c>
      <c r="I8">
        <v>190</v>
      </c>
      <c r="J8">
        <v>830</v>
      </c>
      <c r="K8">
        <v>400</v>
      </c>
      <c r="L8">
        <v>830</v>
      </c>
    </row>
    <row r="9" spans="1:12" x14ac:dyDescent="0.25">
      <c r="A9" t="s">
        <v>8</v>
      </c>
      <c r="B9" t="s">
        <v>16</v>
      </c>
      <c r="C9">
        <v>47</v>
      </c>
      <c r="D9">
        <v>0.54</v>
      </c>
      <c r="E9">
        <v>0.47</v>
      </c>
      <c r="F9">
        <v>0.61</v>
      </c>
      <c r="G9">
        <f t="shared" si="0"/>
        <v>-0.61618613942381695</v>
      </c>
      <c r="H9">
        <f t="shared" si="1"/>
        <v>6.6511801648788949E-2</v>
      </c>
      <c r="I9">
        <v>210</v>
      </c>
      <c r="J9">
        <v>880</v>
      </c>
      <c r="K9">
        <v>390</v>
      </c>
      <c r="L9">
        <v>880</v>
      </c>
    </row>
    <row r="10" spans="1:12" x14ac:dyDescent="0.25">
      <c r="A10" t="s">
        <v>9</v>
      </c>
      <c r="B10" t="s">
        <v>15</v>
      </c>
      <c r="C10">
        <v>53</v>
      </c>
      <c r="D10">
        <v>0.39</v>
      </c>
      <c r="E10">
        <v>0.32</v>
      </c>
      <c r="F10">
        <v>0.46</v>
      </c>
      <c r="G10">
        <f t="shared" si="0"/>
        <v>-0.94160853985844495</v>
      </c>
      <c r="H10">
        <f t="shared" si="1"/>
        <v>9.2577932063614421E-2</v>
      </c>
      <c r="I10">
        <v>200</v>
      </c>
      <c r="J10">
        <v>950</v>
      </c>
      <c r="K10">
        <v>470</v>
      </c>
      <c r="L10">
        <v>950</v>
      </c>
    </row>
    <row r="11" spans="1:12" x14ac:dyDescent="0.25">
      <c r="A11" t="s">
        <v>10</v>
      </c>
      <c r="B11" t="s">
        <v>16</v>
      </c>
      <c r="C11">
        <v>46</v>
      </c>
      <c r="D11">
        <v>0.59</v>
      </c>
      <c r="E11">
        <v>0.52</v>
      </c>
      <c r="F11">
        <v>0.66</v>
      </c>
      <c r="G11">
        <f t="shared" si="0"/>
        <v>-0.52763274208237199</v>
      </c>
      <c r="H11">
        <f t="shared" si="1"/>
        <v>6.0819138633928099E-2</v>
      </c>
      <c r="I11">
        <v>240</v>
      </c>
      <c r="J11">
        <v>870</v>
      </c>
      <c r="K11">
        <v>390</v>
      </c>
      <c r="L11">
        <v>870</v>
      </c>
    </row>
    <row r="12" spans="1:12" x14ac:dyDescent="0.25">
      <c r="A12" t="s">
        <v>24</v>
      </c>
      <c r="B12" t="s">
        <v>15</v>
      </c>
      <c r="C12">
        <v>52</v>
      </c>
      <c r="D12">
        <v>0.5</v>
      </c>
      <c r="E12">
        <v>0.43</v>
      </c>
      <c r="F12">
        <v>0.56999999999999995</v>
      </c>
      <c r="G12">
        <f t="shared" si="0"/>
        <v>-0.69314718055994529</v>
      </c>
      <c r="H12">
        <f t="shared" si="1"/>
        <v>7.1900804117598888E-2</v>
      </c>
      <c r="I12">
        <v>220</v>
      </c>
      <c r="J12">
        <v>1000</v>
      </c>
      <c r="K12">
        <v>440</v>
      </c>
      <c r="L12">
        <v>1000</v>
      </c>
    </row>
    <row r="13" spans="1:12" x14ac:dyDescent="0.25">
      <c r="A13" t="s">
        <v>25</v>
      </c>
      <c r="B13" t="s">
        <v>16</v>
      </c>
      <c r="C13">
        <v>48</v>
      </c>
      <c r="D13">
        <v>0.52</v>
      </c>
      <c r="E13">
        <v>0.45</v>
      </c>
      <c r="F13">
        <v>0.59</v>
      </c>
      <c r="G13">
        <f t="shared" si="0"/>
        <v>-0.65392646740666394</v>
      </c>
      <c r="H13">
        <f t="shared" si="1"/>
        <v>6.910075360596929E-2</v>
      </c>
      <c r="I13">
        <v>180</v>
      </c>
      <c r="J13">
        <v>800</v>
      </c>
      <c r="K13">
        <v>348</v>
      </c>
      <c r="L13">
        <v>800</v>
      </c>
    </row>
    <row r="14" spans="1:12" x14ac:dyDescent="0.25">
      <c r="A14" t="s">
        <v>26</v>
      </c>
      <c r="B14" t="s">
        <v>16</v>
      </c>
      <c r="C14">
        <v>45</v>
      </c>
      <c r="D14">
        <v>0.45</v>
      </c>
      <c r="E14">
        <v>0.38</v>
      </c>
      <c r="F14">
        <v>0.52</v>
      </c>
      <c r="G14">
        <f t="shared" si="0"/>
        <v>-0.79850769621777162</v>
      </c>
      <c r="H14">
        <f t="shared" si="1"/>
        <v>8.0014683381388174E-2</v>
      </c>
      <c r="I14">
        <v>200</v>
      </c>
      <c r="J14">
        <v>780</v>
      </c>
      <c r="K14">
        <v>420</v>
      </c>
      <c r="L14">
        <v>780</v>
      </c>
    </row>
    <row r="15" spans="1:12" x14ac:dyDescent="0.25">
      <c r="A15" t="s">
        <v>27</v>
      </c>
      <c r="B15" t="s">
        <v>15</v>
      </c>
      <c r="C15">
        <v>51</v>
      </c>
      <c r="D15">
        <v>0.57999999999999996</v>
      </c>
      <c r="E15">
        <v>0.51</v>
      </c>
      <c r="F15">
        <v>0.65</v>
      </c>
      <c r="G15">
        <f t="shared" si="0"/>
        <v>-0.54472717544167215</v>
      </c>
      <c r="H15">
        <f t="shared" si="1"/>
        <v>6.1877968666150869E-2</v>
      </c>
      <c r="I15">
        <v>230</v>
      </c>
      <c r="J15">
        <v>750</v>
      </c>
      <c r="K15">
        <v>380</v>
      </c>
      <c r="L15">
        <v>750</v>
      </c>
    </row>
    <row r="16" spans="1:12" x14ac:dyDescent="0.25">
      <c r="A16" t="s">
        <v>28</v>
      </c>
      <c r="B16" t="s">
        <v>15</v>
      </c>
      <c r="C16">
        <v>42</v>
      </c>
      <c r="D16">
        <v>0.42</v>
      </c>
      <c r="E16">
        <v>0.35</v>
      </c>
      <c r="F16">
        <v>0.49</v>
      </c>
      <c r="G16">
        <f t="shared" si="0"/>
        <v>-0.86750056770472306</v>
      </c>
      <c r="H16">
        <f t="shared" si="1"/>
        <v>8.5834754240105379E-2</v>
      </c>
      <c r="I16">
        <v>200</v>
      </c>
      <c r="J16">
        <v>900</v>
      </c>
      <c r="K16">
        <v>460</v>
      </c>
      <c r="L16">
        <v>900</v>
      </c>
    </row>
    <row r="17" spans="1:12" x14ac:dyDescent="0.25">
      <c r="A17" t="s">
        <v>29</v>
      </c>
      <c r="B17" t="s">
        <v>16</v>
      </c>
      <c r="C17">
        <v>50</v>
      </c>
      <c r="D17">
        <v>0.61</v>
      </c>
      <c r="E17">
        <v>0.54</v>
      </c>
      <c r="F17">
        <v>0.68</v>
      </c>
      <c r="G17">
        <f t="shared" si="0"/>
        <v>-0.49429632181478012</v>
      </c>
      <c r="H17">
        <f t="shared" si="1"/>
        <v>5.8807055768324575E-2</v>
      </c>
      <c r="I17">
        <v>240</v>
      </c>
      <c r="J17">
        <v>850</v>
      </c>
      <c r="K17">
        <v>370</v>
      </c>
      <c r="L17">
        <v>850</v>
      </c>
    </row>
    <row r="18" spans="1:12" x14ac:dyDescent="0.25">
      <c r="A18" t="s">
        <v>30</v>
      </c>
      <c r="B18" t="s">
        <v>15</v>
      </c>
      <c r="C18">
        <v>49</v>
      </c>
      <c r="D18">
        <v>0.48</v>
      </c>
      <c r="E18">
        <v>0.41</v>
      </c>
      <c r="F18">
        <v>0.55000000000000004</v>
      </c>
      <c r="G18">
        <f t="shared" si="0"/>
        <v>-0.73396917508020043</v>
      </c>
      <c r="H18">
        <f t="shared" si="1"/>
        <v>7.493906084902123E-2</v>
      </c>
      <c r="I18">
        <v>190</v>
      </c>
      <c r="J18">
        <v>830</v>
      </c>
      <c r="K18">
        <v>400</v>
      </c>
      <c r="L18">
        <v>830</v>
      </c>
    </row>
    <row r="19" spans="1:12" x14ac:dyDescent="0.25">
      <c r="A19" t="s">
        <v>31</v>
      </c>
      <c r="B19" t="s">
        <v>16</v>
      </c>
      <c r="C19">
        <v>47</v>
      </c>
      <c r="D19">
        <v>0.54</v>
      </c>
      <c r="E19">
        <v>0.47</v>
      </c>
      <c r="F19">
        <v>0.61</v>
      </c>
      <c r="G19">
        <f t="shared" si="0"/>
        <v>-0.61618613942381695</v>
      </c>
      <c r="H19">
        <f t="shared" si="1"/>
        <v>6.6511801648788949E-2</v>
      </c>
      <c r="I19">
        <v>210</v>
      </c>
      <c r="J19">
        <v>880</v>
      </c>
      <c r="K19">
        <v>390</v>
      </c>
      <c r="L19">
        <v>880</v>
      </c>
    </row>
    <row r="20" spans="1:12" x14ac:dyDescent="0.25">
      <c r="A20" t="s">
        <v>32</v>
      </c>
      <c r="B20" t="s">
        <v>15</v>
      </c>
      <c r="C20">
        <v>53</v>
      </c>
      <c r="D20">
        <v>0.39</v>
      </c>
      <c r="E20">
        <v>0.32</v>
      </c>
      <c r="F20">
        <v>0.46</v>
      </c>
      <c r="G20">
        <f t="shared" si="0"/>
        <v>-0.94160853985844495</v>
      </c>
      <c r="H20">
        <f t="shared" si="1"/>
        <v>9.2577932063614421E-2</v>
      </c>
      <c r="I20">
        <v>200</v>
      </c>
      <c r="J20">
        <v>950</v>
      </c>
      <c r="K20">
        <v>470</v>
      </c>
      <c r="L20">
        <v>950</v>
      </c>
    </row>
    <row r="21" spans="1:12" x14ac:dyDescent="0.25">
      <c r="A21" t="s">
        <v>33</v>
      </c>
      <c r="B21" t="s">
        <v>16</v>
      </c>
      <c r="C21">
        <v>46</v>
      </c>
      <c r="D21">
        <v>0.59</v>
      </c>
      <c r="E21">
        <v>0.52</v>
      </c>
      <c r="F21">
        <v>0.66</v>
      </c>
      <c r="G21">
        <f t="shared" si="0"/>
        <v>-0.52763274208237199</v>
      </c>
      <c r="H21">
        <f t="shared" si="1"/>
        <v>6.0819138633928099E-2</v>
      </c>
      <c r="I21">
        <v>240</v>
      </c>
      <c r="J21">
        <v>870</v>
      </c>
      <c r="K21">
        <v>390</v>
      </c>
      <c r="L21">
        <v>870</v>
      </c>
    </row>
    <row r="22" spans="1:12" x14ac:dyDescent="0.25">
      <c r="A22" t="s">
        <v>34</v>
      </c>
      <c r="B22" t="s">
        <v>15</v>
      </c>
      <c r="C22">
        <v>52</v>
      </c>
      <c r="D22">
        <v>0.5</v>
      </c>
      <c r="E22">
        <v>0.43</v>
      </c>
      <c r="F22">
        <v>0.56999999999999995</v>
      </c>
      <c r="G22">
        <f t="shared" si="0"/>
        <v>-0.69314718055994529</v>
      </c>
      <c r="H22">
        <f t="shared" si="1"/>
        <v>7.1900804117598888E-2</v>
      </c>
      <c r="I22">
        <v>220</v>
      </c>
      <c r="J22">
        <v>1000</v>
      </c>
      <c r="K22">
        <v>440</v>
      </c>
      <c r="L22">
        <v>1000</v>
      </c>
    </row>
    <row r="23" spans="1:12" x14ac:dyDescent="0.25">
      <c r="A23" t="s">
        <v>35</v>
      </c>
      <c r="B23" t="s">
        <v>16</v>
      </c>
      <c r="C23">
        <v>48</v>
      </c>
      <c r="D23">
        <v>0.52</v>
      </c>
      <c r="E23">
        <v>0.45</v>
      </c>
      <c r="F23">
        <v>0.59</v>
      </c>
      <c r="G23">
        <f t="shared" si="0"/>
        <v>-0.65392646740666394</v>
      </c>
      <c r="H23">
        <f t="shared" si="1"/>
        <v>6.910075360596929E-2</v>
      </c>
      <c r="I23">
        <v>180</v>
      </c>
      <c r="J23">
        <v>800</v>
      </c>
      <c r="K23">
        <v>348</v>
      </c>
      <c r="L23">
        <v>800</v>
      </c>
    </row>
    <row r="24" spans="1:12" x14ac:dyDescent="0.25">
      <c r="A24" t="s">
        <v>36</v>
      </c>
      <c r="B24" t="s">
        <v>16</v>
      </c>
      <c r="C24">
        <v>45</v>
      </c>
      <c r="D24">
        <v>0.45</v>
      </c>
      <c r="E24">
        <v>0.38</v>
      </c>
      <c r="F24">
        <v>0.52</v>
      </c>
      <c r="G24">
        <f t="shared" si="0"/>
        <v>-0.79850769621777162</v>
      </c>
      <c r="H24">
        <f t="shared" si="1"/>
        <v>8.0014683381388174E-2</v>
      </c>
      <c r="I24">
        <v>200</v>
      </c>
      <c r="J24">
        <v>780</v>
      </c>
      <c r="K24">
        <v>420</v>
      </c>
      <c r="L24">
        <v>780</v>
      </c>
    </row>
    <row r="25" spans="1:12" x14ac:dyDescent="0.25">
      <c r="A25" t="s">
        <v>37</v>
      </c>
      <c r="B25" t="s">
        <v>15</v>
      </c>
      <c r="C25">
        <v>51</v>
      </c>
      <c r="D25">
        <v>0.57999999999999996</v>
      </c>
      <c r="E25">
        <v>0.51</v>
      </c>
      <c r="F25">
        <v>0.65</v>
      </c>
      <c r="G25">
        <f t="shared" si="0"/>
        <v>-0.54472717544167215</v>
      </c>
      <c r="H25">
        <f t="shared" si="1"/>
        <v>6.1877968666150869E-2</v>
      </c>
      <c r="I25">
        <v>230</v>
      </c>
      <c r="J25">
        <v>750</v>
      </c>
      <c r="K25">
        <v>380</v>
      </c>
      <c r="L25">
        <v>750</v>
      </c>
    </row>
    <row r="26" spans="1:12" x14ac:dyDescent="0.25">
      <c r="A26" t="s">
        <v>38</v>
      </c>
      <c r="B26" t="s">
        <v>15</v>
      </c>
      <c r="C26">
        <v>42</v>
      </c>
      <c r="D26">
        <v>0.42</v>
      </c>
      <c r="E26">
        <v>0.35</v>
      </c>
      <c r="F26">
        <v>0.49</v>
      </c>
      <c r="G26">
        <f t="shared" si="0"/>
        <v>-0.86750056770472306</v>
      </c>
      <c r="H26">
        <f t="shared" si="1"/>
        <v>8.5834754240105379E-2</v>
      </c>
      <c r="I26">
        <v>200</v>
      </c>
      <c r="J26">
        <v>900</v>
      </c>
      <c r="K26">
        <v>460</v>
      </c>
      <c r="L26">
        <v>900</v>
      </c>
    </row>
    <row r="27" spans="1:12" x14ac:dyDescent="0.25">
      <c r="A27" t="s">
        <v>39</v>
      </c>
      <c r="B27" t="s">
        <v>16</v>
      </c>
      <c r="C27">
        <v>50</v>
      </c>
      <c r="D27">
        <v>0.61</v>
      </c>
      <c r="E27">
        <v>0.54</v>
      </c>
      <c r="F27">
        <v>0.68</v>
      </c>
      <c r="G27">
        <f t="shared" si="0"/>
        <v>-0.49429632181478012</v>
      </c>
      <c r="H27">
        <f t="shared" si="1"/>
        <v>5.8807055768324575E-2</v>
      </c>
      <c r="I27">
        <v>240</v>
      </c>
      <c r="J27">
        <v>850</v>
      </c>
      <c r="K27">
        <v>370</v>
      </c>
      <c r="L27">
        <v>850</v>
      </c>
    </row>
    <row r="28" spans="1:12" x14ac:dyDescent="0.25">
      <c r="A28" t="s">
        <v>40</v>
      </c>
      <c r="B28" t="s">
        <v>15</v>
      </c>
      <c r="C28">
        <v>49</v>
      </c>
      <c r="D28">
        <v>0.48</v>
      </c>
      <c r="E28">
        <v>0.41</v>
      </c>
      <c r="F28">
        <v>0.55000000000000004</v>
      </c>
      <c r="G28">
        <f t="shared" si="0"/>
        <v>-0.73396917508020043</v>
      </c>
      <c r="H28">
        <f t="shared" si="1"/>
        <v>7.493906084902123E-2</v>
      </c>
      <c r="I28">
        <v>190</v>
      </c>
      <c r="J28">
        <v>830</v>
      </c>
      <c r="K28">
        <v>400</v>
      </c>
      <c r="L28">
        <v>830</v>
      </c>
    </row>
    <row r="29" spans="1:12" x14ac:dyDescent="0.25">
      <c r="A29" t="s">
        <v>41</v>
      </c>
      <c r="B29" t="s">
        <v>16</v>
      </c>
      <c r="C29">
        <v>47</v>
      </c>
      <c r="D29">
        <v>0.54</v>
      </c>
      <c r="E29">
        <v>0.47</v>
      </c>
      <c r="F29">
        <v>0.61</v>
      </c>
      <c r="G29">
        <f t="shared" si="0"/>
        <v>-0.61618613942381695</v>
      </c>
      <c r="H29">
        <f t="shared" si="1"/>
        <v>6.6511801648788949E-2</v>
      </c>
      <c r="I29">
        <v>210</v>
      </c>
      <c r="J29">
        <v>880</v>
      </c>
      <c r="K29">
        <v>390</v>
      </c>
      <c r="L29">
        <v>880</v>
      </c>
    </row>
    <row r="30" spans="1:12" x14ac:dyDescent="0.25">
      <c r="A30" t="s">
        <v>42</v>
      </c>
      <c r="B30" t="s">
        <v>15</v>
      </c>
      <c r="C30">
        <v>53</v>
      </c>
      <c r="D30">
        <v>0.39</v>
      </c>
      <c r="E30">
        <v>0.32</v>
      </c>
      <c r="F30">
        <v>0.46</v>
      </c>
      <c r="G30">
        <f t="shared" si="0"/>
        <v>-0.94160853985844495</v>
      </c>
      <c r="H30">
        <f t="shared" si="1"/>
        <v>9.2577932063614421E-2</v>
      </c>
      <c r="I30">
        <v>200</v>
      </c>
      <c r="J30">
        <v>950</v>
      </c>
      <c r="K30">
        <v>470</v>
      </c>
      <c r="L30">
        <v>950</v>
      </c>
    </row>
    <row r="31" spans="1:12" x14ac:dyDescent="0.25">
      <c r="A31" t="s">
        <v>43</v>
      </c>
      <c r="B31" t="s">
        <v>16</v>
      </c>
      <c r="C31">
        <v>46</v>
      </c>
      <c r="D31">
        <v>0.59</v>
      </c>
      <c r="E31">
        <v>0.52</v>
      </c>
      <c r="F31">
        <v>0.66</v>
      </c>
      <c r="G31">
        <f t="shared" si="0"/>
        <v>-0.52763274208237199</v>
      </c>
      <c r="H31">
        <f t="shared" si="1"/>
        <v>6.0819138633928099E-2</v>
      </c>
      <c r="I31">
        <v>240</v>
      </c>
      <c r="J31">
        <v>870</v>
      </c>
      <c r="K31">
        <v>390</v>
      </c>
      <c r="L31">
        <v>870</v>
      </c>
    </row>
    <row r="32" spans="1:12" x14ac:dyDescent="0.25">
      <c r="A32" t="s">
        <v>44</v>
      </c>
      <c r="B32" t="s">
        <v>15</v>
      </c>
      <c r="C32">
        <v>52</v>
      </c>
      <c r="D32">
        <v>0.5</v>
      </c>
      <c r="E32">
        <v>0.43</v>
      </c>
      <c r="F32">
        <v>0.56999999999999995</v>
      </c>
      <c r="G32">
        <f t="shared" si="0"/>
        <v>-0.69314718055994529</v>
      </c>
      <c r="H32">
        <f t="shared" si="1"/>
        <v>7.1900804117598888E-2</v>
      </c>
      <c r="I32">
        <v>220</v>
      </c>
      <c r="J32">
        <v>1000</v>
      </c>
      <c r="K32">
        <v>440</v>
      </c>
      <c r="L32">
        <v>1000</v>
      </c>
    </row>
    <row r="33" spans="1:12" x14ac:dyDescent="0.25">
      <c r="A33" t="s">
        <v>45</v>
      </c>
      <c r="B33" t="s">
        <v>16</v>
      </c>
      <c r="C33">
        <v>48</v>
      </c>
      <c r="D33">
        <v>0.52</v>
      </c>
      <c r="E33">
        <v>0.45</v>
      </c>
      <c r="F33">
        <v>0.59</v>
      </c>
      <c r="G33">
        <f t="shared" si="0"/>
        <v>-0.65392646740666394</v>
      </c>
      <c r="H33">
        <f t="shared" si="1"/>
        <v>6.910075360596929E-2</v>
      </c>
      <c r="I33">
        <v>180</v>
      </c>
      <c r="J33">
        <v>800</v>
      </c>
      <c r="K33">
        <v>348</v>
      </c>
      <c r="L33">
        <v>800</v>
      </c>
    </row>
    <row r="34" spans="1:12" x14ac:dyDescent="0.25">
      <c r="A34" t="s">
        <v>46</v>
      </c>
      <c r="B34" t="s">
        <v>16</v>
      </c>
      <c r="C34">
        <v>45</v>
      </c>
      <c r="D34">
        <v>0.45</v>
      </c>
      <c r="E34">
        <v>0.38</v>
      </c>
      <c r="F34">
        <v>0.52</v>
      </c>
      <c r="G34">
        <f t="shared" si="0"/>
        <v>-0.79850769621777162</v>
      </c>
      <c r="H34">
        <f t="shared" si="1"/>
        <v>8.0014683381388174E-2</v>
      </c>
      <c r="I34">
        <v>200</v>
      </c>
      <c r="J34">
        <v>780</v>
      </c>
      <c r="K34">
        <v>420</v>
      </c>
      <c r="L34">
        <v>780</v>
      </c>
    </row>
    <row r="35" spans="1:12" x14ac:dyDescent="0.25">
      <c r="A35" t="s">
        <v>47</v>
      </c>
      <c r="B35" t="s">
        <v>15</v>
      </c>
      <c r="C35">
        <v>51</v>
      </c>
      <c r="D35">
        <v>0.57999999999999996</v>
      </c>
      <c r="E35">
        <v>0.51</v>
      </c>
      <c r="F35">
        <v>0.65</v>
      </c>
      <c r="G35">
        <f t="shared" si="0"/>
        <v>-0.54472717544167215</v>
      </c>
      <c r="H35">
        <f t="shared" si="1"/>
        <v>6.1877968666150869E-2</v>
      </c>
      <c r="I35">
        <v>230</v>
      </c>
      <c r="J35">
        <v>750</v>
      </c>
      <c r="K35">
        <v>380</v>
      </c>
      <c r="L35">
        <v>750</v>
      </c>
    </row>
    <row r="36" spans="1:12" x14ac:dyDescent="0.25">
      <c r="A36" t="s">
        <v>48</v>
      </c>
      <c r="B36" t="s">
        <v>15</v>
      </c>
      <c r="C36">
        <v>42</v>
      </c>
      <c r="D36">
        <v>0.42</v>
      </c>
      <c r="E36">
        <v>0.35</v>
      </c>
      <c r="F36">
        <v>0.49</v>
      </c>
      <c r="G36">
        <f t="shared" si="0"/>
        <v>-0.86750056770472306</v>
      </c>
      <c r="H36">
        <f t="shared" si="1"/>
        <v>8.5834754240105379E-2</v>
      </c>
      <c r="I36">
        <v>200</v>
      </c>
      <c r="J36">
        <v>900</v>
      </c>
      <c r="K36">
        <v>460</v>
      </c>
      <c r="L36">
        <v>900</v>
      </c>
    </row>
    <row r="37" spans="1:12" x14ac:dyDescent="0.25">
      <c r="A37" t="s">
        <v>49</v>
      </c>
      <c r="B37" t="s">
        <v>16</v>
      </c>
      <c r="C37">
        <v>50</v>
      </c>
      <c r="D37">
        <v>0.61</v>
      </c>
      <c r="E37">
        <v>0.54</v>
      </c>
      <c r="F37">
        <v>0.68</v>
      </c>
      <c r="G37">
        <f t="shared" si="0"/>
        <v>-0.49429632181478012</v>
      </c>
      <c r="H37">
        <f t="shared" si="1"/>
        <v>5.8807055768324575E-2</v>
      </c>
      <c r="I37">
        <v>240</v>
      </c>
      <c r="J37">
        <v>850</v>
      </c>
      <c r="K37">
        <v>370</v>
      </c>
      <c r="L37">
        <v>850</v>
      </c>
    </row>
    <row r="38" spans="1:12" x14ac:dyDescent="0.25">
      <c r="A38" t="s">
        <v>50</v>
      </c>
      <c r="B38" t="s">
        <v>15</v>
      </c>
      <c r="C38">
        <v>49</v>
      </c>
      <c r="D38">
        <v>0.48</v>
      </c>
      <c r="E38">
        <v>0.41</v>
      </c>
      <c r="F38">
        <v>0.55000000000000004</v>
      </c>
      <c r="G38">
        <f t="shared" si="0"/>
        <v>-0.73396917508020043</v>
      </c>
      <c r="H38">
        <f t="shared" si="1"/>
        <v>7.493906084902123E-2</v>
      </c>
      <c r="I38">
        <v>190</v>
      </c>
      <c r="J38">
        <v>830</v>
      </c>
      <c r="K38">
        <v>400</v>
      </c>
      <c r="L38">
        <v>830</v>
      </c>
    </row>
    <row r="39" spans="1:12" x14ac:dyDescent="0.25">
      <c r="A39" t="s">
        <v>51</v>
      </c>
      <c r="B39" t="s">
        <v>16</v>
      </c>
      <c r="C39">
        <v>47</v>
      </c>
      <c r="D39">
        <v>0.54</v>
      </c>
      <c r="E39">
        <v>0.47</v>
      </c>
      <c r="F39">
        <v>0.61</v>
      </c>
      <c r="G39">
        <f t="shared" si="0"/>
        <v>-0.61618613942381695</v>
      </c>
      <c r="H39">
        <f t="shared" si="1"/>
        <v>6.6511801648788949E-2</v>
      </c>
      <c r="I39">
        <v>210</v>
      </c>
      <c r="J39">
        <v>880</v>
      </c>
      <c r="K39">
        <v>390</v>
      </c>
      <c r="L39">
        <v>880</v>
      </c>
    </row>
    <row r="40" spans="1:12" x14ac:dyDescent="0.25">
      <c r="A40" t="s">
        <v>52</v>
      </c>
      <c r="B40" t="s">
        <v>15</v>
      </c>
      <c r="C40">
        <v>53</v>
      </c>
      <c r="D40">
        <v>0.39</v>
      </c>
      <c r="E40">
        <v>0.32</v>
      </c>
      <c r="F40">
        <v>0.46</v>
      </c>
      <c r="G40">
        <f t="shared" si="0"/>
        <v>-0.94160853985844495</v>
      </c>
      <c r="H40">
        <f t="shared" si="1"/>
        <v>9.2577932063614421E-2</v>
      </c>
      <c r="I40">
        <v>200</v>
      </c>
      <c r="J40">
        <v>950</v>
      </c>
      <c r="K40">
        <v>470</v>
      </c>
      <c r="L40">
        <v>950</v>
      </c>
    </row>
    <row r="41" spans="1:12" x14ac:dyDescent="0.25">
      <c r="A41" t="s">
        <v>53</v>
      </c>
      <c r="B41" t="s">
        <v>16</v>
      </c>
      <c r="C41">
        <v>46</v>
      </c>
      <c r="D41">
        <v>0.59</v>
      </c>
      <c r="E41">
        <v>0.52</v>
      </c>
      <c r="F41">
        <v>0.66</v>
      </c>
      <c r="G41">
        <f t="shared" si="0"/>
        <v>-0.52763274208237199</v>
      </c>
      <c r="H41">
        <f t="shared" si="1"/>
        <v>6.0819138633928099E-2</v>
      </c>
      <c r="I41">
        <v>240</v>
      </c>
      <c r="J41">
        <v>870</v>
      </c>
      <c r="K41">
        <v>390</v>
      </c>
      <c r="L41">
        <v>870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dcterms:created xsi:type="dcterms:W3CDTF">2015-06-05T18:17:20Z</dcterms:created>
  <dcterms:modified xsi:type="dcterms:W3CDTF">2026-09-07T07:53:43Z</dcterms:modified>
</cp:coreProperties>
</file>